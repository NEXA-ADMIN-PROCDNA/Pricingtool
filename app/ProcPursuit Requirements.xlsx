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procdna-my.sharepoint.com/personal/jagrit_desai_procdna_com/Documents/Desktop/"/>
    </mc:Choice>
  </mc:AlternateContent>
  <xr:revisionPtr revIDLastSave="0" documentId="8_{675828F2-4958-41A8-9559-620F090D6CF2}" xr6:coauthVersionLast="47" xr6:coauthVersionMax="47" xr10:uidLastSave="{00000000-0000-0000-0000-000000000000}"/>
  <bookViews>
    <workbookView xWindow="-108" yWindow="-108" windowWidth="23256" windowHeight="13896" xr2:uid="{1A6A10A7-F9D0-4568-ABDA-CF975221910C}"/>
  </bookViews>
  <sheets>
    <sheet name="PTP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1" l="1"/>
  <c r="P53" i="1"/>
  <c r="F96" i="1"/>
  <c r="F97" i="1" s="1"/>
  <c r="C96" i="1"/>
  <c r="H93" i="1"/>
  <c r="E93" i="1"/>
  <c r="H92" i="1"/>
  <c r="E92" i="1"/>
  <c r="C91" i="1"/>
  <c r="F85" i="1"/>
  <c r="F83" i="1"/>
  <c r="F82" i="1"/>
  <c r="G91" i="1" s="1"/>
  <c r="M75" i="1"/>
  <c r="K75" i="1"/>
  <c r="J75" i="1"/>
  <c r="I75" i="1"/>
  <c r="I74" i="1"/>
  <c r="I73" i="1"/>
  <c r="I72" i="1"/>
  <c r="G72" i="1"/>
  <c r="I71" i="1"/>
  <c r="G71" i="1"/>
  <c r="G96" i="1" l="1"/>
  <c r="H91" i="1"/>
  <c r="H96" i="1" s="1"/>
  <c r="D91" i="1"/>
  <c r="E91" i="1" l="1"/>
  <c r="E96" i="1" s="1"/>
  <c r="D96" i="1"/>
  <c r="G97" i="1" s="1"/>
  <c r="H97" i="1"/>
</calcChain>
</file>

<file path=xl/sharedStrings.xml><?xml version="1.0" encoding="utf-8"?>
<sst xmlns="http://schemas.openxmlformats.org/spreadsheetml/2006/main" count="184" uniqueCount="154">
  <si>
    <t>Opportunity to be closed only after PO or SOW upload</t>
  </si>
  <si>
    <t>Revenue split based on billable rates and not on hours</t>
  </si>
  <si>
    <t>Flow</t>
  </si>
  <si>
    <t>Status</t>
  </si>
  <si>
    <t>Current Step:</t>
  </si>
  <si>
    <t>Next steps:</t>
  </si>
  <si>
    <t>Opportunity Created</t>
  </si>
  <si>
    <t>Commercials Pending</t>
  </si>
  <si>
    <t>Commercials Created</t>
  </si>
  <si>
    <t>Price Linking Pending</t>
  </si>
  <si>
    <t>Linked Commercials</t>
  </si>
  <si>
    <t>Approval Pending</t>
  </si>
  <si>
    <t>Approved Commercials</t>
  </si>
  <si>
    <t>Status change pending</t>
  </si>
  <si>
    <t>Status Changed to Won</t>
  </si>
  <si>
    <t>SOW pending</t>
  </si>
  <si>
    <t>Status Changed to Lost/Abandoned</t>
  </si>
  <si>
    <t>To be archived in 12hours</t>
  </si>
  <si>
    <t>SOW Uploaded</t>
  </si>
  <si>
    <t>PO Pending</t>
  </si>
  <si>
    <t>PO Uploaded</t>
  </si>
  <si>
    <t>Open</t>
  </si>
  <si>
    <t>Won</t>
  </si>
  <si>
    <t>Lost</t>
  </si>
  <si>
    <t>Abandoned</t>
  </si>
  <si>
    <t>Complete - won or lost</t>
  </si>
  <si>
    <t>New Opp - Details</t>
  </si>
  <si>
    <t>Client Name</t>
  </si>
  <si>
    <t>Opportunity Type - New + Rate Card</t>
  </si>
  <si>
    <t>Opportunity Name</t>
  </si>
  <si>
    <t>Start Date</t>
  </si>
  <si>
    <t>End Date</t>
  </si>
  <si>
    <t>Primary Line of Business</t>
  </si>
  <si>
    <t>Client POCs</t>
  </si>
  <si>
    <t>Multiple emails and Name</t>
  </si>
  <si>
    <t>Client BU</t>
  </si>
  <si>
    <t>Pricing basic Details:</t>
  </si>
  <si>
    <t>Staffing Tab (columns):</t>
  </si>
  <si>
    <t>Schedule of Payments</t>
  </si>
  <si>
    <t>Resouce Designation</t>
  </si>
  <si>
    <t>Month wise rows</t>
  </si>
  <si>
    <t>Opportunity Type - New</t>
  </si>
  <si>
    <t>Billable Check box (default ticked)</t>
  </si>
  <si>
    <t>Recommended</t>
  </si>
  <si>
    <t>Proposed</t>
  </si>
  <si>
    <t>Location (dropdown): India or US</t>
  </si>
  <si>
    <t>Jan</t>
  </si>
  <si>
    <t>two columns:
1. Sum of Bill Rate x Hours (for that month) 
2. other cost billable</t>
  </si>
  <si>
    <t>recommended -&gt; add premium or less discount or manuall input, along with 2 columns</t>
  </si>
  <si>
    <t>Billed Rate/Hour (System)</t>
  </si>
  <si>
    <t>feb</t>
  </si>
  <si>
    <t>Discount/premium input box</t>
  </si>
  <si>
    <t>Mar</t>
  </si>
  <si>
    <t>Billed Rate/Hour (manual or calculated); If manual rate entered then take manual or take system</t>
  </si>
  <si>
    <t>Apr</t>
  </si>
  <si>
    <t>Revenue Share - Based on billing/hour</t>
  </si>
  <si>
    <t>Cost Rate /Hour</t>
  </si>
  <si>
    <t>…</t>
  </si>
  <si>
    <t>Proposed Billings (total of Proposed from SoP)</t>
  </si>
  <si>
    <t>Staffing Sheet per week colums starting from start date to end date.</t>
  </si>
  <si>
    <t>Total</t>
  </si>
  <si>
    <t>sum of all</t>
  </si>
  <si>
    <t>Total Cost (Total of Costs)</t>
  </si>
  <si>
    <t>Gross margin %</t>
  </si>
  <si>
    <t>Discount</t>
  </si>
  <si>
    <t>if manual input change proposed if proposed manually input then auto calculate</t>
  </si>
  <si>
    <t>Discount/Premium % (E from FT)</t>
  </si>
  <si>
    <t>Premium</t>
  </si>
  <si>
    <t>Effective Rate / Hour (G from FT)</t>
  </si>
  <si>
    <t>Total Hours</t>
  </si>
  <si>
    <t>Offshore %</t>
  </si>
  <si>
    <t>Other Cost Tab:</t>
  </si>
  <si>
    <t>Financials Tab:</t>
  </si>
  <si>
    <t>Name of expense</t>
  </si>
  <si>
    <t>To be broken down every month and full project</t>
  </si>
  <si>
    <t>jan</t>
  </si>
  <si>
    <t>Feb</t>
  </si>
  <si>
    <t>Nature of expense (Billable, Non billable, Passthrough)</t>
  </si>
  <si>
    <t>A</t>
  </si>
  <si>
    <t>Revenue (Billed rate x hours of the month) A1 + Billed number from Other Cost Tab A2 or take from SoP tab based on months</t>
  </si>
  <si>
    <t>if Billable: Cost, Billed and % markup. If we put Billed amount % automatic and if we put % billed amount automatic</t>
  </si>
  <si>
    <t>B</t>
  </si>
  <si>
    <t>Employee Cost (Hours x Cost/hour rate)</t>
  </si>
  <si>
    <t>If Passthrough: Cost, Billed and % markup. If we put Billed amount % automatic and if we put % billed amount automatic</t>
  </si>
  <si>
    <t>C</t>
  </si>
  <si>
    <t>Other Cost (sum of cost from Other Cost Tab) divide it on per month basis</t>
  </si>
  <si>
    <t>If Non Billable: Cost only</t>
  </si>
  <si>
    <t>D</t>
  </si>
  <si>
    <t>Gross Margin (D=A-B-C)</t>
  </si>
  <si>
    <t>E</t>
  </si>
  <si>
    <t>Discount / premium % (proposed revenue/recommended revenue)</t>
  </si>
  <si>
    <t>F</t>
  </si>
  <si>
    <t>Total Hours (sum of hours)</t>
  </si>
  <si>
    <t>G</t>
  </si>
  <si>
    <t>Offshore ratio (India hours / total hours)</t>
  </si>
  <si>
    <t>Blended rate</t>
  </si>
  <si>
    <t>H</t>
  </si>
  <si>
    <t xml:space="preserve">Billed Rate/ Hour (A (revenue total without other cost's revenue A1/ total hours: Billable and Non Billable) </t>
  </si>
  <si>
    <t>True Rate which client is paying</t>
  </si>
  <si>
    <t>I</t>
  </si>
  <si>
    <t>Effective Rate/ Hour (A (only billed revenue total A1/ total billable hours)</t>
  </si>
  <si>
    <t>J</t>
  </si>
  <si>
    <t>India Rate (billed india revenue / india hours)</t>
  </si>
  <si>
    <t>K</t>
  </si>
  <si>
    <t>US Rate (Billed US rate / US hours)</t>
  </si>
  <si>
    <t>L</t>
  </si>
  <si>
    <t>Business Justification (text box which will be used in approval email)</t>
  </si>
  <si>
    <t>Staffing Sheet</t>
  </si>
  <si>
    <t>copy paste enable</t>
  </si>
  <si>
    <t>default tick</t>
  </si>
  <si>
    <t>dropdown</t>
  </si>
  <si>
    <t>apply to all checkbox</t>
  </si>
  <si>
    <t>D/P (in %)</t>
  </si>
  <si>
    <t>Billable (check box)</t>
  </si>
  <si>
    <t>Role</t>
  </si>
  <si>
    <t>Location</t>
  </si>
  <si>
    <t>Billed Rate (system)</t>
  </si>
  <si>
    <t>D/P (manual or calculated if EBR filled manually)</t>
  </si>
  <si>
    <t>Effective Rate (manual or calculated if D/P filled)</t>
  </si>
  <si>
    <t>Internal Cost/Hour</t>
  </si>
  <si>
    <t>Week1</t>
  </si>
  <si>
    <t>Week2</t>
  </si>
  <si>
    <t>..</t>
  </si>
  <si>
    <t>Week10</t>
  </si>
  <si>
    <t>tick</t>
  </si>
  <si>
    <t>AEL</t>
  </si>
  <si>
    <t>US</t>
  </si>
  <si>
    <t>EL</t>
  </si>
  <si>
    <t>India</t>
  </si>
  <si>
    <t>SEL</t>
  </si>
  <si>
    <t>untick</t>
  </si>
  <si>
    <t>Intern</t>
  </si>
  <si>
    <t>Billing</t>
  </si>
  <si>
    <t>billing total</t>
  </si>
  <si>
    <t>Other Cost</t>
  </si>
  <si>
    <t>Billable</t>
  </si>
  <si>
    <t>Nature of Expense</t>
  </si>
  <si>
    <t>Cost</t>
  </si>
  <si>
    <t>Markup</t>
  </si>
  <si>
    <t>Billed</t>
  </si>
  <si>
    <t>Travel</t>
  </si>
  <si>
    <t>Software</t>
  </si>
  <si>
    <t>Training and certification</t>
  </si>
  <si>
    <t>TPA</t>
  </si>
  <si>
    <t>auto fill</t>
  </si>
  <si>
    <t>Sch of Payment</t>
  </si>
  <si>
    <t>Months</t>
  </si>
  <si>
    <t>recommended</t>
  </si>
  <si>
    <t>efforts</t>
  </si>
  <si>
    <t>other</t>
  </si>
  <si>
    <t>mar</t>
  </si>
  <si>
    <t>apr</t>
  </si>
  <si>
    <t>total</t>
  </si>
  <si>
    <t>Total D/P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</si>
</sst>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2" borderId="0" xfId="0" applyFont="1" applyFill="1"/>
    <xf numFmtId="0" fontId="0" fillId="0" borderId="5" xfId="0" applyBorder="1"/>
    <xf numFmtId="0" fontId="0" fillId="3" borderId="0" xfId="0" applyFill="1"/>
    <xf numFmtId="0" fontId="0" fillId="4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5" borderId="0" xfId="0" applyFill="1"/>
    <xf numFmtId="9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0" xfId="1" applyFont="1" applyBorder="1"/>
    <xf numFmtId="0" fontId="0" fillId="9" borderId="0" xfId="0" applyFill="1"/>
    <xf numFmtId="0" fontId="0" fillId="10" borderId="0" xfId="0" applyFill="1"/>
    <xf numFmtId="0" fontId="0" fillId="11" borderId="0" xfId="0" applyFill="1"/>
    <xf numFmtId="9" fontId="0" fillId="12" borderId="0" xfId="1" applyFont="1" applyFill="1" applyBorder="1"/>
    <xf numFmtId="0" fontId="0" fillId="12" borderId="0" xfId="0" applyFill="1"/>
    <xf numFmtId="0" fontId="3" fillId="2" borderId="0" xfId="0" applyFont="1" applyFill="1"/>
    <xf numFmtId="0" fontId="0" fillId="2" borderId="0" xfId="0" applyFill="1"/>
    <xf numFmtId="0" fontId="0" fillId="13" borderId="0" xfId="0" applyFill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6D013-CFBE-4886-AB76-2E6022EA5FA5}">
  <dimension ref="A2:T100"/>
  <sheetViews>
    <sheetView tabSelected="1" topLeftCell="A22" workbookViewId="0">
      <selection activeCell="B28" sqref="B28"/>
    </sheetView>
  </sheetViews>
  <sheetFormatPr defaultRowHeight="14.45"/>
  <cols>
    <col min="2" max="2" width="16.7109375" bestFit="1" customWidth="1"/>
    <col min="3" max="3" width="22.42578125" bestFit="1" customWidth="1"/>
    <col min="4" max="4" width="22.140625" bestFit="1" customWidth="1"/>
    <col min="5" max="5" width="18.28515625" bestFit="1" customWidth="1"/>
    <col min="6" max="6" width="24.140625" customWidth="1"/>
    <col min="7" max="7" width="19.7109375" customWidth="1"/>
    <col min="8" max="8" width="9.5703125" customWidth="1"/>
    <col min="9" max="9" width="15.7109375" bestFit="1" customWidth="1"/>
    <col min="13" max="13" width="11.28515625" bestFit="1" customWidth="1"/>
    <col min="15" max="15" width="65" customWidth="1"/>
    <col min="16" max="16" width="37.5703125" bestFit="1" customWidth="1"/>
  </cols>
  <sheetData>
    <row r="2" spans="1:10">
      <c r="A2">
        <v>1</v>
      </c>
      <c r="B2" t="s">
        <v>0</v>
      </c>
    </row>
    <row r="3" spans="1:10">
      <c r="A3">
        <v>2</v>
      </c>
      <c r="B3" t="s">
        <v>1</v>
      </c>
    </row>
    <row r="5" spans="1:10">
      <c r="B5" s="1" t="s">
        <v>2</v>
      </c>
    </row>
    <row r="6" spans="1:10">
      <c r="A6" t="s">
        <v>3</v>
      </c>
      <c r="B6" s="2" t="s">
        <v>4</v>
      </c>
      <c r="C6" s="2"/>
      <c r="D6" s="2" t="s">
        <v>5</v>
      </c>
    </row>
    <row r="7" spans="1:10">
      <c r="B7" t="s">
        <v>6</v>
      </c>
      <c r="D7" t="s">
        <v>7</v>
      </c>
    </row>
    <row r="8" spans="1:10">
      <c r="B8" t="s">
        <v>8</v>
      </c>
      <c r="D8" t="s">
        <v>9</v>
      </c>
    </row>
    <row r="9" spans="1:10">
      <c r="B9" t="s">
        <v>10</v>
      </c>
      <c r="D9" t="s">
        <v>11</v>
      </c>
    </row>
    <row r="10" spans="1:10">
      <c r="B10" t="s">
        <v>12</v>
      </c>
      <c r="D10" t="s">
        <v>13</v>
      </c>
    </row>
    <row r="11" spans="1:10">
      <c r="B11" t="s">
        <v>14</v>
      </c>
      <c r="D11" t="s">
        <v>15</v>
      </c>
      <c r="F11" t="s">
        <v>16</v>
      </c>
      <c r="J11" t="s">
        <v>17</v>
      </c>
    </row>
    <row r="12" spans="1:10">
      <c r="B12" t="s">
        <v>18</v>
      </c>
      <c r="D12" t="s">
        <v>19</v>
      </c>
    </row>
    <row r="13" spans="1:10">
      <c r="B13" t="s">
        <v>20</v>
      </c>
      <c r="D13" t="s">
        <v>17</v>
      </c>
    </row>
    <row r="15" spans="1:10">
      <c r="B15" s="2" t="s">
        <v>3</v>
      </c>
    </row>
    <row r="16" spans="1:10">
      <c r="B16" t="s">
        <v>21</v>
      </c>
      <c r="C16" t="s">
        <v>22</v>
      </c>
      <c r="D16" t="s">
        <v>23</v>
      </c>
      <c r="E16" t="s">
        <v>24</v>
      </c>
      <c r="G16" t="s">
        <v>25</v>
      </c>
    </row>
    <row r="18" spans="1:16">
      <c r="A18">
        <v>3</v>
      </c>
      <c r="B18" s="2" t="s">
        <v>26</v>
      </c>
    </row>
    <row r="19" spans="1:16">
      <c r="B19" t="s">
        <v>27</v>
      </c>
    </row>
    <row r="20" spans="1:16">
      <c r="B20" t="s">
        <v>28</v>
      </c>
    </row>
    <row r="21" spans="1:16">
      <c r="B21" t="s">
        <v>29</v>
      </c>
    </row>
    <row r="22" spans="1:16">
      <c r="B22" t="s">
        <v>30</v>
      </c>
    </row>
    <row r="23" spans="1:16">
      <c r="B23" t="s">
        <v>31</v>
      </c>
    </row>
    <row r="24" spans="1:16">
      <c r="B24" t="s">
        <v>32</v>
      </c>
    </row>
    <row r="25" spans="1:16">
      <c r="B25" t="s">
        <v>33</v>
      </c>
      <c r="C25" t="s">
        <v>34</v>
      </c>
    </row>
    <row r="26" spans="1:16">
      <c r="B26" t="s">
        <v>35</v>
      </c>
    </row>
    <row r="28" spans="1:16">
      <c r="B28" s="2" t="s">
        <v>36</v>
      </c>
      <c r="F28" s="2" t="s">
        <v>37</v>
      </c>
      <c r="N28" s="2" t="s">
        <v>38</v>
      </c>
    </row>
    <row r="29" spans="1:16">
      <c r="B29" t="s">
        <v>27</v>
      </c>
      <c r="F29" t="s">
        <v>39</v>
      </c>
      <c r="N29" t="s">
        <v>40</v>
      </c>
    </row>
    <row r="30" spans="1:16">
      <c r="B30" t="s">
        <v>41</v>
      </c>
      <c r="F30" t="s">
        <v>42</v>
      </c>
      <c r="O30" t="s">
        <v>43</v>
      </c>
      <c r="P30" t="s">
        <v>44</v>
      </c>
    </row>
    <row r="31" spans="1:16" ht="57.6">
      <c r="B31" t="s">
        <v>29</v>
      </c>
      <c r="F31" t="s">
        <v>45</v>
      </c>
      <c r="N31" t="s">
        <v>46</v>
      </c>
      <c r="O31" s="3" t="s">
        <v>47</v>
      </c>
      <c r="P31" t="s">
        <v>48</v>
      </c>
    </row>
    <row r="32" spans="1:16">
      <c r="B32" t="s">
        <v>30</v>
      </c>
      <c r="F32" t="s">
        <v>49</v>
      </c>
      <c r="N32" t="s">
        <v>50</v>
      </c>
    </row>
    <row r="33" spans="2:20">
      <c r="B33" t="s">
        <v>31</v>
      </c>
      <c r="F33" t="s">
        <v>51</v>
      </c>
      <c r="N33" t="s">
        <v>52</v>
      </c>
    </row>
    <row r="34" spans="2:20">
      <c r="B34" t="s">
        <v>32</v>
      </c>
      <c r="F34" t="s">
        <v>53</v>
      </c>
      <c r="N34" t="s">
        <v>54</v>
      </c>
    </row>
    <row r="35" spans="2:20">
      <c r="B35" t="s">
        <v>55</v>
      </c>
      <c r="F35" t="s">
        <v>56</v>
      </c>
      <c r="N35" t="s">
        <v>57</v>
      </c>
    </row>
    <row r="36" spans="2:20">
      <c r="B36" t="s">
        <v>58</v>
      </c>
      <c r="F36" t="s">
        <v>59</v>
      </c>
      <c r="N36" t="s">
        <v>60</v>
      </c>
      <c r="O36" t="s">
        <v>61</v>
      </c>
      <c r="P36" t="s">
        <v>61</v>
      </c>
    </row>
    <row r="37" spans="2:20">
      <c r="B37" t="s">
        <v>62</v>
      </c>
    </row>
    <row r="38" spans="2:20">
      <c r="B38" t="s">
        <v>63</v>
      </c>
      <c r="N38" t="s">
        <v>64</v>
      </c>
      <c r="O38" t="s">
        <v>65</v>
      </c>
    </row>
    <row r="39" spans="2:20">
      <c r="B39" t="s">
        <v>66</v>
      </c>
      <c r="N39" t="s">
        <v>67</v>
      </c>
      <c r="O39" t="s">
        <v>65</v>
      </c>
    </row>
    <row r="40" spans="2:20">
      <c r="B40" t="s">
        <v>68</v>
      </c>
    </row>
    <row r="41" spans="2:20">
      <c r="B41" t="s">
        <v>69</v>
      </c>
    </row>
    <row r="42" spans="2:20">
      <c r="B42" t="s">
        <v>70</v>
      </c>
    </row>
    <row r="44" spans="2:20">
      <c r="B44" s="2" t="s">
        <v>71</v>
      </c>
      <c r="O44" s="2" t="s">
        <v>72</v>
      </c>
    </row>
    <row r="45" spans="2:20">
      <c r="B45" t="s">
        <v>73</v>
      </c>
      <c r="O45" t="s">
        <v>74</v>
      </c>
      <c r="P45" t="s">
        <v>60</v>
      </c>
      <c r="Q45" t="s">
        <v>75</v>
      </c>
      <c r="R45" t="s">
        <v>76</v>
      </c>
      <c r="S45" t="s">
        <v>52</v>
      </c>
      <c r="T45" t="s">
        <v>54</v>
      </c>
    </row>
    <row r="46" spans="2:20" ht="28.9">
      <c r="B46" t="s">
        <v>77</v>
      </c>
      <c r="N46" t="s">
        <v>78</v>
      </c>
      <c r="O46" s="3" t="s">
        <v>79</v>
      </c>
      <c r="P46" s="22"/>
      <c r="Q46" s="22"/>
      <c r="R46" s="22"/>
      <c r="S46" s="22"/>
      <c r="T46" s="22"/>
    </row>
    <row r="47" spans="2:20">
      <c r="B47" t="s">
        <v>80</v>
      </c>
      <c r="N47" t="s">
        <v>81</v>
      </c>
      <c r="O47" t="s">
        <v>82</v>
      </c>
      <c r="P47" s="23"/>
    </row>
    <row r="48" spans="2:20">
      <c r="B48" t="s">
        <v>83</v>
      </c>
      <c r="N48" t="s">
        <v>84</v>
      </c>
      <c r="O48" t="s">
        <v>85</v>
      </c>
      <c r="P48" s="24"/>
    </row>
    <row r="49" spans="2:16">
      <c r="B49" t="s">
        <v>86</v>
      </c>
      <c r="N49" t="s">
        <v>87</v>
      </c>
      <c r="O49" t="s">
        <v>88</v>
      </c>
    </row>
    <row r="50" spans="2:16">
      <c r="N50" t="s">
        <v>89</v>
      </c>
      <c r="O50" t="s">
        <v>90</v>
      </c>
      <c r="P50" s="26"/>
    </row>
    <row r="51" spans="2:16">
      <c r="N51" t="s">
        <v>91</v>
      </c>
      <c r="O51" t="s">
        <v>92</v>
      </c>
      <c r="P51" s="28"/>
    </row>
    <row r="52" spans="2:16">
      <c r="N52" t="s">
        <v>93</v>
      </c>
      <c r="O52" t="s">
        <v>94</v>
      </c>
    </row>
    <row r="53" spans="2:16" ht="28.9">
      <c r="M53" t="s">
        <v>95</v>
      </c>
      <c r="N53" t="s">
        <v>96</v>
      </c>
      <c r="O53" s="3" t="s">
        <v>97</v>
      </c>
      <c r="P53">
        <f>I75/SUM(I71:I74)</f>
        <v>75.268817204301072</v>
      </c>
    </row>
    <row r="54" spans="2:16">
      <c r="M54" t="s">
        <v>98</v>
      </c>
      <c r="N54" t="s">
        <v>99</v>
      </c>
      <c r="O54" t="s">
        <v>100</v>
      </c>
      <c r="P54">
        <f>I75/SUM(I71:I73)</f>
        <v>111.11111111111111</v>
      </c>
    </row>
    <row r="55" spans="2:16">
      <c r="N55" t="s">
        <v>101</v>
      </c>
      <c r="O55" t="s">
        <v>102</v>
      </c>
      <c r="P55" s="29"/>
    </row>
    <row r="56" spans="2:16">
      <c r="N56" t="s">
        <v>103</v>
      </c>
      <c r="O56" t="s">
        <v>104</v>
      </c>
      <c r="P56" s="29"/>
    </row>
    <row r="57" spans="2:16">
      <c r="N57" t="s">
        <v>105</v>
      </c>
      <c r="O57" t="s">
        <v>106</v>
      </c>
    </row>
    <row r="67" spans="1:14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6"/>
    </row>
    <row r="68" spans="1:14">
      <c r="A68" s="7"/>
      <c r="B68" s="8" t="s">
        <v>107</v>
      </c>
      <c r="C68" s="3"/>
      <c r="I68" t="s">
        <v>108</v>
      </c>
      <c r="N68" s="9"/>
    </row>
    <row r="69" spans="1:14">
      <c r="A69" s="7"/>
      <c r="B69" t="s">
        <v>109</v>
      </c>
      <c r="C69" t="s">
        <v>110</v>
      </c>
      <c r="D69" t="s">
        <v>110</v>
      </c>
      <c r="E69" t="s">
        <v>111</v>
      </c>
      <c r="F69" t="s">
        <v>112</v>
      </c>
      <c r="G69" s="29"/>
      <c r="H69" s="23"/>
      <c r="I69" s="23"/>
      <c r="N69" s="9"/>
    </row>
    <row r="70" spans="1:14" ht="25.9" customHeight="1">
      <c r="A70" s="7"/>
      <c r="B70" t="s">
        <v>113</v>
      </c>
      <c r="C70" s="10" t="s">
        <v>114</v>
      </c>
      <c r="D70" s="10" t="s">
        <v>115</v>
      </c>
      <c r="E70" s="10" t="s">
        <v>116</v>
      </c>
      <c r="F70" s="11" t="s">
        <v>117</v>
      </c>
      <c r="G70" s="11" t="s">
        <v>118</v>
      </c>
      <c r="H70" s="12" t="s">
        <v>119</v>
      </c>
      <c r="I70" s="27" t="s">
        <v>60</v>
      </c>
      <c r="J70" s="2" t="s">
        <v>120</v>
      </c>
      <c r="K70" s="2" t="s">
        <v>121</v>
      </c>
      <c r="L70" s="2" t="s">
        <v>122</v>
      </c>
      <c r="M70" s="2" t="s">
        <v>123</v>
      </c>
      <c r="N70" s="9"/>
    </row>
    <row r="71" spans="1:14">
      <c r="A71" s="7"/>
      <c r="B71" t="s">
        <v>124</v>
      </c>
      <c r="C71" t="s">
        <v>125</v>
      </c>
      <c r="D71" t="s">
        <v>126</v>
      </c>
      <c r="E71" s="13">
        <v>130</v>
      </c>
      <c r="F71" s="14">
        <v>-0.1</v>
      </c>
      <c r="G71" s="15">
        <f>E71*(1+F71)</f>
        <v>117</v>
      </c>
      <c r="H71">
        <v>90</v>
      </c>
      <c r="I71">
        <f>SUM(J71:M71)</f>
        <v>100</v>
      </c>
      <c r="J71" s="13">
        <v>40</v>
      </c>
      <c r="K71">
        <v>40</v>
      </c>
      <c r="M71">
        <v>20</v>
      </c>
      <c r="N71" s="9"/>
    </row>
    <row r="72" spans="1:14">
      <c r="A72" s="7"/>
      <c r="B72" t="s">
        <v>124</v>
      </c>
      <c r="C72" t="s">
        <v>127</v>
      </c>
      <c r="D72" t="s">
        <v>128</v>
      </c>
      <c r="E72" s="13">
        <v>50</v>
      </c>
      <c r="F72" s="14">
        <v>0.1</v>
      </c>
      <c r="G72" s="15">
        <f>E72*(1+F72)</f>
        <v>55.000000000000007</v>
      </c>
      <c r="H72">
        <v>30</v>
      </c>
      <c r="I72">
        <f>SUM(J72:M72)</f>
        <v>20</v>
      </c>
      <c r="J72" s="13">
        <v>5</v>
      </c>
      <c r="K72">
        <v>5</v>
      </c>
      <c r="M72">
        <v>10</v>
      </c>
      <c r="N72" s="9"/>
    </row>
    <row r="73" spans="1:14">
      <c r="A73" s="7"/>
      <c r="B73" t="s">
        <v>124</v>
      </c>
      <c r="C73" t="s">
        <v>129</v>
      </c>
      <c r="D73" t="s">
        <v>126</v>
      </c>
      <c r="E73" s="13">
        <v>200</v>
      </c>
      <c r="G73" s="15">
        <v>200</v>
      </c>
      <c r="H73">
        <v>140</v>
      </c>
      <c r="I73">
        <f>SUM(J73:M73)</f>
        <v>6</v>
      </c>
      <c r="J73" s="15">
        <v>2</v>
      </c>
      <c r="K73">
        <v>2</v>
      </c>
      <c r="M73">
        <v>2</v>
      </c>
      <c r="N73" s="9"/>
    </row>
    <row r="74" spans="1:14">
      <c r="A74" s="7"/>
      <c r="B74" s="16" t="s">
        <v>130</v>
      </c>
      <c r="C74" t="s">
        <v>131</v>
      </c>
      <c r="D74" t="s">
        <v>128</v>
      </c>
      <c r="E74" s="13">
        <v>25</v>
      </c>
      <c r="G74" s="16">
        <v>0</v>
      </c>
      <c r="H74">
        <v>20</v>
      </c>
      <c r="I74">
        <f>SUM(J74:M74)</f>
        <v>60</v>
      </c>
      <c r="J74" s="15">
        <v>20</v>
      </c>
      <c r="K74">
        <v>20</v>
      </c>
      <c r="M74">
        <v>20</v>
      </c>
      <c r="N74" s="9"/>
    </row>
    <row r="75" spans="1:14">
      <c r="A75" s="7"/>
      <c r="C75" t="s">
        <v>132</v>
      </c>
      <c r="I75" s="17">
        <f>SUM(J75:M75)</f>
        <v>14000</v>
      </c>
      <c r="J75">
        <f>J71*$G$71+$G$72*J72+$G$73*J73</f>
        <v>5355</v>
      </c>
      <c r="K75">
        <f>K71*$G$71+$G$72*K72+$G$73*K73</f>
        <v>5355</v>
      </c>
      <c r="M75">
        <f>M71*$G$71+$G$72*M72+$G$73*M73</f>
        <v>3290</v>
      </c>
      <c r="N75" s="9"/>
    </row>
    <row r="76" spans="1:14">
      <c r="A76" s="7"/>
      <c r="I76" t="s">
        <v>133</v>
      </c>
      <c r="N76" s="9"/>
    </row>
    <row r="77" spans="1:14">
      <c r="A77" s="18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20"/>
    </row>
    <row r="79" spans="1:14">
      <c r="B79" s="8" t="s">
        <v>134</v>
      </c>
    </row>
    <row r="81" spans="1:9">
      <c r="B81" s="2" t="s">
        <v>135</v>
      </c>
      <c r="C81" s="2" t="s">
        <v>136</v>
      </c>
      <c r="D81" s="2" t="s">
        <v>137</v>
      </c>
      <c r="E81" s="2" t="s">
        <v>138</v>
      </c>
      <c r="F81" s="2" t="s">
        <v>139</v>
      </c>
    </row>
    <row r="82" spans="1:9">
      <c r="B82" t="s">
        <v>124</v>
      </c>
      <c r="C82" t="s">
        <v>140</v>
      </c>
      <c r="D82">
        <v>5000</v>
      </c>
      <c r="E82" s="14">
        <v>0</v>
      </c>
      <c r="F82">
        <f>D82*(1+E82)</f>
        <v>5000</v>
      </c>
    </row>
    <row r="83" spans="1:9">
      <c r="B83" t="s">
        <v>124</v>
      </c>
      <c r="C83" t="s">
        <v>141</v>
      </c>
      <c r="D83">
        <v>10000</v>
      </c>
      <c r="E83" s="14">
        <v>0.1</v>
      </c>
      <c r="F83">
        <f>D83*(1+E83)</f>
        <v>11000</v>
      </c>
    </row>
    <row r="84" spans="1:9">
      <c r="B84" s="16" t="s">
        <v>130</v>
      </c>
      <c r="C84" t="s">
        <v>142</v>
      </c>
      <c r="D84">
        <v>2000</v>
      </c>
      <c r="E84" s="14">
        <v>0</v>
      </c>
      <c r="F84" s="16">
        <v>0</v>
      </c>
    </row>
    <row r="85" spans="1:9">
      <c r="B85" t="s">
        <v>124</v>
      </c>
      <c r="C85" t="s">
        <v>143</v>
      </c>
      <c r="D85" s="24">
        <v>50000</v>
      </c>
      <c r="E85" s="14">
        <v>0</v>
      </c>
      <c r="F85">
        <f>D85*(1+E85)</f>
        <v>50000</v>
      </c>
    </row>
    <row r="87" spans="1:9">
      <c r="A87" s="4"/>
      <c r="B87" s="5" t="s">
        <v>144</v>
      </c>
      <c r="C87" s="5"/>
      <c r="D87" s="5"/>
      <c r="E87" s="5"/>
      <c r="F87" s="5"/>
      <c r="G87" s="5"/>
      <c r="H87" s="5"/>
      <c r="I87" s="6"/>
    </row>
    <row r="88" spans="1:9">
      <c r="A88" s="7"/>
      <c r="B88" s="8" t="s">
        <v>145</v>
      </c>
      <c r="I88" s="9"/>
    </row>
    <row r="89" spans="1:9">
      <c r="A89" s="7"/>
      <c r="B89" t="s">
        <v>146</v>
      </c>
      <c r="C89" s="30" t="s">
        <v>147</v>
      </c>
      <c r="D89" s="30"/>
      <c r="E89" s="30"/>
      <c r="F89" s="30" t="s">
        <v>44</v>
      </c>
      <c r="G89" s="30"/>
      <c r="H89" s="30"/>
      <c r="I89" s="9"/>
    </row>
    <row r="90" spans="1:9">
      <c r="A90" s="7"/>
      <c r="C90" t="s">
        <v>148</v>
      </c>
      <c r="D90" t="s">
        <v>149</v>
      </c>
      <c r="E90" t="s">
        <v>60</v>
      </c>
      <c r="F90" t="s">
        <v>148</v>
      </c>
      <c r="G90" t="s">
        <v>149</v>
      </c>
      <c r="H90" t="s">
        <v>60</v>
      </c>
      <c r="I90" s="9"/>
    </row>
    <row r="91" spans="1:9">
      <c r="A91" s="7"/>
      <c r="B91" t="s">
        <v>46</v>
      </c>
      <c r="C91" s="13">
        <f>J71*E71+J72*E72+J73*E73+J74*E74</f>
        <v>6350</v>
      </c>
      <c r="D91">
        <f>SUM(F82:F86)</f>
        <v>66000</v>
      </c>
      <c r="E91">
        <f>SUM(D91,C91)</f>
        <v>72350</v>
      </c>
      <c r="F91" s="15">
        <v>5355</v>
      </c>
      <c r="G91">
        <f>SUM(F82:F86)</f>
        <v>66000</v>
      </c>
      <c r="H91" s="22">
        <f>SUM(F91:G91)</f>
        <v>71355</v>
      </c>
      <c r="I91" s="9"/>
    </row>
    <row r="92" spans="1:9">
      <c r="A92" s="7"/>
      <c r="B92" t="s">
        <v>76</v>
      </c>
      <c r="C92" s="13">
        <v>6350</v>
      </c>
      <c r="E92">
        <f>SUM(D92,C92)</f>
        <v>6350</v>
      </c>
      <c r="F92" s="15">
        <v>5355</v>
      </c>
      <c r="G92">
        <v>0</v>
      </c>
      <c r="H92" s="22">
        <f>SUM(F92:G92)</f>
        <v>5355</v>
      </c>
      <c r="I92" s="9"/>
    </row>
    <row r="93" spans="1:9">
      <c r="A93" s="7"/>
      <c r="B93" t="s">
        <v>150</v>
      </c>
      <c r="C93" s="13">
        <v>6350</v>
      </c>
      <c r="E93">
        <f>SUM(D93,C93)</f>
        <v>6350</v>
      </c>
      <c r="F93" s="15">
        <v>5355</v>
      </c>
      <c r="H93" s="22">
        <f>SUM(F93:G93)</f>
        <v>5355</v>
      </c>
      <c r="I93" s="9"/>
    </row>
    <row r="94" spans="1:9">
      <c r="A94" s="7"/>
      <c r="B94" t="s">
        <v>151</v>
      </c>
      <c r="H94" s="22"/>
      <c r="I94" s="9"/>
    </row>
    <row r="95" spans="1:9">
      <c r="A95" s="7"/>
      <c r="B95" t="s">
        <v>57</v>
      </c>
      <c r="H95" s="22"/>
      <c r="I95" s="9"/>
    </row>
    <row r="96" spans="1:9">
      <c r="A96" s="7"/>
      <c r="B96" t="s">
        <v>152</v>
      </c>
      <c r="C96">
        <f t="shared" ref="C96:H96" si="0">SUM(C91:C95)</f>
        <v>19050</v>
      </c>
      <c r="D96">
        <f t="shared" si="0"/>
        <v>66000</v>
      </c>
      <c r="E96">
        <f t="shared" si="0"/>
        <v>85050</v>
      </c>
      <c r="F96">
        <f t="shared" si="0"/>
        <v>16065</v>
      </c>
      <c r="G96">
        <f t="shared" si="0"/>
        <v>66000</v>
      </c>
      <c r="H96" s="22">
        <f t="shared" si="0"/>
        <v>82065</v>
      </c>
      <c r="I96" s="9"/>
    </row>
    <row r="97" spans="1:9">
      <c r="A97" s="7"/>
      <c r="B97" t="s">
        <v>153</v>
      </c>
      <c r="F97" s="21">
        <f>F96/C96-1</f>
        <v>-0.1566929133858268</v>
      </c>
      <c r="G97" s="21">
        <f>G96/D96-1</f>
        <v>0</v>
      </c>
      <c r="H97" s="25">
        <f>H96/E96-1</f>
        <v>-3.5097001763668478E-2</v>
      </c>
      <c r="I97" s="9"/>
    </row>
    <row r="98" spans="1:9">
      <c r="A98" s="7"/>
      <c r="I98" s="9"/>
    </row>
    <row r="99" spans="1:9">
      <c r="A99" s="7"/>
      <c r="I99" s="9"/>
    </row>
    <row r="100" spans="1:9">
      <c r="A100" s="18"/>
      <c r="B100" s="19"/>
      <c r="C100" s="19"/>
      <c r="D100" s="19"/>
      <c r="E100" s="19"/>
      <c r="F100" s="19"/>
      <c r="G100" s="19"/>
      <c r="H100" s="19"/>
      <c r="I100" s="20"/>
    </row>
  </sheetData>
  <mergeCells count="2">
    <mergeCell ref="C89:E89"/>
    <mergeCell ref="F89:H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Jagrit Desai</dc:creator>
  <cp:keywords/>
  <dc:description/>
  <cp:lastModifiedBy/>
  <cp:revision/>
  <dcterms:created xsi:type="dcterms:W3CDTF">2026-04-09T13:35:50Z</dcterms:created>
  <dcterms:modified xsi:type="dcterms:W3CDTF">2026-04-17T13:22:55Z</dcterms:modified>
  <cp:category/>
  <cp:contentStatus/>
</cp:coreProperties>
</file>